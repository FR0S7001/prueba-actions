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5F"/>
      <sz val="14"/>
    </font>
    <font>
      <i val="1"/>
      <color rgb="00595959"/>
      <sz val="9"/>
    </font>
    <font>
      <sz val="10"/>
    </font>
    <font>
      <b val="1"/>
      <color rgb="00FFFFFF"/>
      <sz val="10"/>
    </font>
    <font>
      <b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EAF2F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0" fontId="5" fillId="0" borderId="0" applyAlignment="1" pivotButton="0" quotePrefix="0" xfId="0">
      <alignment horizontal="right"/>
    </xf>
    <xf numFmtId="3" fontId="5" fillId="3" borderId="0" pivotButton="0" quotePrefix="0" xfId="0"/>
    <xf numFmtId="0" fontId="6" fillId="2" borderId="0" applyAlignment="1" pivotButton="0" quotePrefix="0" xfId="0">
      <alignment horizontal="right"/>
    </xf>
    <xf numFmtId="3" fontId="6" fillId="2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18" customWidth="1" min="3" max="3"/>
    <col width="16" customWidth="1" min="4" max="4"/>
    <col width="10" customWidth="1" min="5" max="5"/>
    <col width="14" customWidth="1" min="6" max="6"/>
    <col width="16" customWidth="1" min="7" max="7"/>
  </cols>
  <sheetData>
    <row r="1">
      <c r="A1" s="1" t="inlineStr">
        <is>
          <t>Presupuesto del Proyecto — Befine Store</t>
        </is>
      </c>
    </row>
    <row r="2">
      <c r="A2" s="2" t="inlineStr">
        <is>
          <t>Plaxi Solutions (Grupo N3) · Cliente: Agua Purificada Befine · Moneda: CLP</t>
        </is>
      </c>
    </row>
    <row r="3">
      <c r="A3" s="3" t="inlineStr">
        <is>
          <t>Líder del Proyecto: Grupo N3 (liderazgo rotativo)   ·   Fecha: 09/10/2026 (act. SC-04)   ·   Reserva de contingencia: 15%</t>
        </is>
      </c>
    </row>
    <row r="5">
      <c r="A5" s="4" t="inlineStr">
        <is>
          <t>Categoría</t>
        </is>
      </c>
      <c r="B5" s="4" t="inlineStr">
        <is>
          <t>Ítem / Recurso</t>
        </is>
      </c>
      <c r="C5" s="4" t="inlineStr">
        <is>
          <t>Financiado por</t>
        </is>
      </c>
      <c r="D5" s="4" t="inlineStr">
        <is>
          <t>Tipo de unidad</t>
        </is>
      </c>
      <c r="E5" s="4" t="inlineStr">
        <is>
          <t>Cantidad</t>
        </is>
      </c>
      <c r="F5" s="4" t="inlineStr">
        <is>
          <t>Tasa (CLP)</t>
        </is>
      </c>
      <c r="G5" s="4" t="inlineStr">
        <is>
          <t>Presupuesto (CLP)</t>
        </is>
      </c>
    </row>
    <row r="6">
      <c r="A6" s="5" t="inlineStr">
        <is>
          <t>Labor (Personal)</t>
        </is>
      </c>
      <c r="B6" s="5" t="inlineStr">
        <is>
          <t>Desarrollo — Iván Rodríguez</t>
        </is>
      </c>
      <c r="C6" s="5" t="inlineStr">
        <is>
          <t>Plaxi (s/costo)</t>
        </is>
      </c>
      <c r="D6" s="5" t="inlineStr">
        <is>
          <t>Horas</t>
        </is>
      </c>
      <c r="E6" s="5" t="n">
        <v>0</v>
      </c>
      <c r="F6" s="6" t="n">
        <v>0</v>
      </c>
      <c r="G6" s="6" t="n">
        <v>0</v>
      </c>
    </row>
    <row r="7">
      <c r="A7" s="7" t="inlineStr">
        <is>
          <t>Labor (Personal)</t>
        </is>
      </c>
      <c r="B7" s="7" t="inlineStr">
        <is>
          <t>Desarrollo — Carlos Fuentes</t>
        </is>
      </c>
      <c r="C7" s="7" t="inlineStr">
        <is>
          <t>Plaxi (s/costo)</t>
        </is>
      </c>
      <c r="D7" s="7" t="inlineStr">
        <is>
          <t>Horas</t>
        </is>
      </c>
      <c r="E7" s="7" t="n">
        <v>0</v>
      </c>
      <c r="F7" s="8" t="n">
        <v>0</v>
      </c>
      <c r="G7" s="8" t="n">
        <v>0</v>
      </c>
    </row>
    <row r="8">
      <c r="A8" s="5" t="inlineStr">
        <is>
          <t>Labor (Personal)</t>
        </is>
      </c>
      <c r="B8" s="5" t="inlineStr">
        <is>
          <t>Desarrollo — Felipe Moraga</t>
        </is>
      </c>
      <c r="C8" s="5" t="inlineStr">
        <is>
          <t>Plaxi (s/costo)</t>
        </is>
      </c>
      <c r="D8" s="5" t="inlineStr">
        <is>
          <t>Horas</t>
        </is>
      </c>
      <c r="E8" s="5" t="n">
        <v>0</v>
      </c>
      <c r="F8" s="6" t="n">
        <v>0</v>
      </c>
      <c r="G8" s="6" t="n">
        <v>0</v>
      </c>
    </row>
    <row r="9">
      <c r="A9" s="7" t="inlineStr">
        <is>
          <t>Infraestructura</t>
        </is>
      </c>
      <c r="B9" s="7" t="inlineStr">
        <is>
          <t>Dominio web (reutiliza el de Shopify)</t>
        </is>
      </c>
      <c r="C9" s="7" t="inlineStr">
        <is>
          <t>Cliente (Befine)</t>
        </is>
      </c>
      <c r="D9" s="7" t="inlineStr">
        <is>
          <t>Anual</t>
        </is>
      </c>
      <c r="E9" s="7" t="n">
        <v>1</v>
      </c>
      <c r="F9" s="8" t="n">
        <v>0</v>
      </c>
      <c r="G9" s="8" t="n">
        <v>0</v>
      </c>
    </row>
    <row r="10">
      <c r="A10" s="5" t="inlineStr">
        <is>
          <t>Licencias</t>
        </is>
      </c>
      <c r="B10" s="5" t="inlineStr">
        <is>
          <t>OpenFactura — plan Pyme (facturación electrónica)</t>
        </is>
      </c>
      <c r="C10" s="5" t="inlineStr">
        <is>
          <t>Cliente (Befine)</t>
        </is>
      </c>
      <c r="D10" s="5" t="inlineStr">
        <is>
          <t>Anual</t>
        </is>
      </c>
      <c r="E10" s="5" t="n">
        <v>1</v>
      </c>
      <c r="F10" s="6" t="n">
        <v>428400</v>
      </c>
      <c r="G10" s="6" t="n">
        <v>428400</v>
      </c>
    </row>
    <row r="11">
      <c r="A11" s="7" t="inlineStr">
        <is>
          <t>Licencias</t>
        </is>
      </c>
      <c r="B11" s="7" t="inlineStr">
        <is>
          <t>Certificado digital de firma electrónica (SII)</t>
        </is>
      </c>
      <c r="C11" s="7" t="inlineStr">
        <is>
          <t>Cliente (Befine)</t>
        </is>
      </c>
      <c r="D11" s="7" t="inlineStr">
        <is>
          <t>Anual</t>
        </is>
      </c>
      <c r="E11" s="7" t="n">
        <v>1</v>
      </c>
      <c r="F11" s="8" t="n">
        <v>14030</v>
      </c>
      <c r="G11" s="8" t="n">
        <v>14030</v>
      </c>
    </row>
    <row r="12">
      <c r="A12" s="5" t="inlineStr">
        <is>
          <t>Infraestructura</t>
        </is>
      </c>
      <c r="B12" s="5" t="inlineStr">
        <is>
          <t>Supabase — plan gratuito (SC-04)</t>
        </is>
      </c>
      <c r="C12" s="5" t="inlineStr">
        <is>
          <t>Cliente (Befine)</t>
        </is>
      </c>
      <c r="D12" s="5" t="inlineStr">
        <is>
          <t>Sin costo</t>
        </is>
      </c>
      <c r="E12" s="5" t="n">
        <v>0</v>
      </c>
      <c r="F12" s="6" t="n">
        <v>0</v>
      </c>
      <c r="G12" s="6" t="n">
        <v>0</v>
      </c>
    </row>
    <row r="13">
      <c r="A13" s="7" t="inlineStr">
        <is>
          <t>Servicios</t>
        </is>
      </c>
      <c r="B13" s="7" t="inlineStr">
        <is>
          <t>Mercado Pago (comisión por transacción)</t>
        </is>
      </c>
      <c r="C13" s="7" t="inlineStr">
        <is>
          <t>Cliente (Befine)</t>
        </is>
      </c>
      <c r="D13" s="7" t="inlineStr">
        <is>
          <t>Por transacción</t>
        </is>
      </c>
      <c r="E13" s="7" t="n">
        <v>0</v>
      </c>
      <c r="F13" s="8" t="n">
        <v>0</v>
      </c>
      <c r="G13" s="8" t="n">
        <v>0</v>
      </c>
    </row>
    <row r="14">
      <c r="A14" s="9" t="inlineStr">
        <is>
          <t>Subtotal anual (herramientas e infraestructura)</t>
        </is>
      </c>
      <c r="G14" s="10">
        <f>SUM(G6:G13)</f>
        <v/>
      </c>
    </row>
    <row r="15">
      <c r="A15" s="9" t="inlineStr">
        <is>
          <t>Reserva de contingencia (15%)</t>
        </is>
      </c>
      <c r="G15" s="10">
        <f>ROUND(G14*0.15,0)</f>
        <v/>
      </c>
    </row>
    <row r="16">
      <c r="A16" s="11" t="inlineStr">
        <is>
          <t>TOTAL ANUAL ESTIMADO (línea base de costo)</t>
        </is>
      </c>
      <c r="G16" s="12">
        <f>G14+G15</f>
        <v/>
      </c>
    </row>
    <row r="18">
      <c r="A18" s="13" t="inlineStr">
        <is>
          <t>Mantención post-entrega (fuera de la línea base del proyecto):</t>
        </is>
      </c>
    </row>
    <row r="19">
      <c r="B19" t="inlineStr">
        <is>
          <t>Soporte mensual Plaxi → Befine (≈5 h: errores, monitoreo, cambios menores)</t>
        </is>
      </c>
      <c r="F19" s="3" t="inlineStr">
        <is>
          <t>CLP/mes</t>
        </is>
      </c>
      <c r="G19" s="14" t="n">
        <v>90000</v>
      </c>
    </row>
  </sheetData>
  <mergeCells count="3">
    <mergeCell ref="A14:F14"/>
    <mergeCell ref="A16:F16"/>
    <mergeCell ref="A15:F15"/>
  </mergeCells>
  <pageMargins left="0.4" right="0.4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Notas del presupuesto</t>
        </is>
      </c>
    </row>
    <row r="3">
      <c r="A3" s="15" t="inlineStr">
        <is>
          <t>• Plaxi Solutions no cobra horas-hombre por el desarrollo (trabajo de título): la labor de desarrollo se registra en $0.</t>
        </is>
      </c>
    </row>
    <row r="4">
      <c r="A4" s="15" t="inlineStr">
        <is>
          <t>• Las herramientas e infraestructura son financiadas por el cliente (Agua Purificada Befine), contratadas en modalidad anual.</t>
        </is>
      </c>
    </row>
    <row r="5">
      <c r="A5" s="15" t="inlineStr">
        <is>
          <t>• Por decisión del cliente (SC-04), Supabase se utiliza en su plan gratuito: no tiene costo y el presupuesto queda 100 % en pesos chilenos. Si el negocio crece, el paso al plan Pro se tramitará como nueva solicitud de cambio.</t>
        </is>
      </c>
    </row>
    <row r="6">
      <c r="A6" s="15" t="inlineStr">
        <is>
          <t>• La mantención mensual ($90.000 CLP) es un cobro post-entrega, independiente de la línea base de costo del proyecto de título.</t>
        </is>
      </c>
    </row>
    <row r="7">
      <c r="A7" s="15" t="inlineStr">
        <is>
          <t>• Los valores de OpenFactura y del certificado digital son referenciales y deben validarse con las tarifas vigentes antes de la implementación.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2026-09-10T07:51:17Z</dcterms:created>
  <dcterms:modified xmlns:dcterms="http://purl.org/dc/terms/" xmlns:xsi="http://www.w3.org/2001/XMLSchema-instance" xsi:type="dcterms:W3CDTF">2026-10-09T08:08:04Z</dcterms:modified>
</cp:coreProperties>
</file>